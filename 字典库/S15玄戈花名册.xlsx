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hidePivotFieldList="1"/>
  <bookViews>
    <workbookView windowWidth="25600" windowHeight="11630"/>
  </bookViews>
  <sheets>
    <sheet name="S15战队成员" sheetId="5" r:id="rId1"/>
    <sheet name="武勋赋值" sheetId="3" state="hidden" r:id="rId2"/>
    <sheet name="繁荣评级" sheetId="4" state="hidden" r:id="rId3"/>
    <sheet name="攻城" sheetId="6" state="hidden" r:id="rId4"/>
    <sheet name="评价系数" sheetId="7" state="hidden" r:id="rId5"/>
  </sheets>
  <definedNames>
    <definedName name="_xlnm._FilterDatabase" localSheetId="0" hidden="1">S15战队成员!$A$1:$A$222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<sst xmlns="http://schemas.openxmlformats.org/spreadsheetml/2006/main" count="281" uniqueCount="273">
  <si>
    <t>本赛季昵称</t>
  </si>
  <si>
    <t>玄丨泷战</t>
  </si>
  <si>
    <t>风丨照千川</t>
  </si>
  <si>
    <t>玄丨東阳</t>
  </si>
  <si>
    <t>玄丨酒寄彩叶</t>
  </si>
  <si>
    <t>风丨形影相弔</t>
  </si>
  <si>
    <t>玄丨食髓知味</t>
  </si>
  <si>
    <t>玄丨浅醉</t>
  </si>
  <si>
    <t>玄丨风起云卷</t>
  </si>
  <si>
    <t>玄丨酱油</t>
  </si>
  <si>
    <t>逸云</t>
  </si>
  <si>
    <t>月潜</t>
  </si>
  <si>
    <t>晚丨山手梨爱</t>
  </si>
  <si>
    <t>亿万少女的梦</t>
  </si>
  <si>
    <t>稷丨逸芸</t>
  </si>
  <si>
    <t>红泥小火炉</t>
  </si>
  <si>
    <t>玄丨减速带</t>
  </si>
  <si>
    <t>风丨喜结良缘</t>
  </si>
  <si>
    <t>玄丨岁岁平安</t>
  </si>
  <si>
    <t>玄丨革命軍</t>
  </si>
  <si>
    <t>修辞立其诚</t>
  </si>
  <si>
    <t>风丨吹蛋蛋凉</t>
  </si>
  <si>
    <t>玄丨東小阳</t>
  </si>
  <si>
    <t>玄丨周董</t>
  </si>
  <si>
    <t>风丨林尽染</t>
  </si>
  <si>
    <t>紫川</t>
  </si>
  <si>
    <t>稷丨逸伝</t>
  </si>
  <si>
    <t>玄丨德爱师恩</t>
  </si>
  <si>
    <t>风丨炸串</t>
  </si>
  <si>
    <t>风丨醉清风</t>
  </si>
  <si>
    <t>晚丨田园美樱</t>
  </si>
  <si>
    <t>玄丨金刀伏虎</t>
  </si>
  <si>
    <t>悠悠苍天</t>
  </si>
  <si>
    <t>潇潇落青衣</t>
  </si>
  <si>
    <t>刁徳一</t>
  </si>
  <si>
    <t>农民工大菠萝</t>
  </si>
  <si>
    <t>风丨力宏</t>
  </si>
  <si>
    <t>玄丨极文羽</t>
  </si>
  <si>
    <t>稷丨江山</t>
  </si>
  <si>
    <t>晚丨陈曼尼</t>
  </si>
  <si>
    <t>玄琳老祖</t>
  </si>
  <si>
    <t>一杯布雷啵啵</t>
  </si>
  <si>
    <t>玄丨荔枝一点</t>
  </si>
  <si>
    <t>玄丨星星</t>
  </si>
  <si>
    <t>五雷轰顶</t>
  </si>
  <si>
    <t>无畏疾风</t>
  </si>
  <si>
    <t>稷丨黎明</t>
  </si>
  <si>
    <t>风吹不落</t>
  </si>
  <si>
    <t>风信子</t>
  </si>
  <si>
    <t>风丨清水袍哥</t>
  </si>
  <si>
    <t>玄丨八级狂风</t>
  </si>
  <si>
    <t>风丨王易烊</t>
  </si>
  <si>
    <t>玄丨零度逍遥</t>
  </si>
  <si>
    <t>玄丨晚天魁</t>
  </si>
  <si>
    <t>稷丨稷复唧唧</t>
  </si>
  <si>
    <t>初拥丶</t>
  </si>
  <si>
    <t>小鳄鱼</t>
  </si>
  <si>
    <t>晚丨还见故国</t>
  </si>
  <si>
    <t>北方工业</t>
  </si>
  <si>
    <t>狗头丶奶白</t>
  </si>
  <si>
    <t>狗头丶军师</t>
  </si>
  <si>
    <t>狗头老白</t>
  </si>
  <si>
    <t>狗头丶负卿</t>
  </si>
  <si>
    <t>萌萌哒冬笗</t>
  </si>
  <si>
    <t>狗头丶熊猫</t>
  </si>
  <si>
    <t>仙丨厄德高</t>
  </si>
  <si>
    <t>仙丨罗卜</t>
  </si>
  <si>
    <t>仙丨小玖</t>
  </si>
  <si>
    <t>仙丨秦军团</t>
  </si>
  <si>
    <t>诛仙丶玄霄</t>
  </si>
  <si>
    <t>仙丨空山</t>
  </si>
  <si>
    <t>仙丨黑胡子</t>
  </si>
  <si>
    <t>仙丨魔力虎</t>
  </si>
  <si>
    <t>仙丨无计施</t>
  </si>
  <si>
    <t>仙丨药摸鱼</t>
  </si>
  <si>
    <t>仙丨苍茫</t>
  </si>
  <si>
    <t>仙丨浊酒</t>
  </si>
  <si>
    <t>仙丨水果</t>
  </si>
  <si>
    <t>仙丨洛澜</t>
  </si>
  <si>
    <t>仙丨哈基米</t>
  </si>
  <si>
    <t>狗头丶戒色赌</t>
  </si>
  <si>
    <t>仙丨桃花山</t>
  </si>
  <si>
    <t>仙丨狼图腾</t>
  </si>
  <si>
    <t>仙丨大黑蕉</t>
  </si>
  <si>
    <t>狗头丶久久溜</t>
  </si>
  <si>
    <t>狗头丶彼岸花</t>
  </si>
  <si>
    <t>两世繁华</t>
  </si>
  <si>
    <t>仙丨火骑兵</t>
  </si>
  <si>
    <t>狗头丶鸡脑</t>
  </si>
  <si>
    <t>豆豆到处跑</t>
  </si>
  <si>
    <t>按时决定</t>
  </si>
  <si>
    <t>狗头丶龘脑</t>
  </si>
  <si>
    <t>狗头丶石破天</t>
  </si>
  <si>
    <t>漫漫长長</t>
  </si>
  <si>
    <t>狗头丶牛脑</t>
  </si>
  <si>
    <t>星汉灿烂</t>
  </si>
  <si>
    <t>狗头丶二郎</t>
  </si>
  <si>
    <t>扬名立万</t>
  </si>
  <si>
    <t>星丨漢</t>
  </si>
  <si>
    <t>火锅丨响铃卷</t>
  </si>
  <si>
    <t>炸管</t>
  </si>
  <si>
    <t>火锅丨野韭菜</t>
  </si>
  <si>
    <t>火锅丨不要辣</t>
  </si>
  <si>
    <t>火锅丨对酒歌</t>
  </si>
  <si>
    <t>火锅丨霸王茶</t>
  </si>
  <si>
    <t>火锅丨不打折</t>
  </si>
  <si>
    <t>火锅丨冻豆腐</t>
  </si>
  <si>
    <t>火锅丨随便</t>
  </si>
  <si>
    <t>火锅丨烫七秒</t>
  </si>
  <si>
    <t>四十岁的亨利</t>
  </si>
  <si>
    <t>知我</t>
  </si>
  <si>
    <t>火锅丨九宫格</t>
  </si>
  <si>
    <t>山主陈十一</t>
  </si>
  <si>
    <t>火锅丨三文鱼</t>
  </si>
  <si>
    <t>火锅丨王子酒</t>
  </si>
  <si>
    <t>随心</t>
  </si>
  <si>
    <t>客卿丨陈信宏</t>
  </si>
  <si>
    <t>客卿丨游侠</t>
  </si>
  <si>
    <t>春花秋月</t>
  </si>
  <si>
    <t>火锅丨中郎将</t>
  </si>
  <si>
    <t>火锅丨糟粕醋</t>
  </si>
  <si>
    <t>酷洛洛</t>
  </si>
  <si>
    <t>斗皇强者</t>
  </si>
  <si>
    <t>火锅丨大鱿鱼</t>
  </si>
  <si>
    <t>白色的乌鸦</t>
  </si>
  <si>
    <t>火锅丨牛瘪</t>
  </si>
  <si>
    <t>火锅丨吊龙</t>
  </si>
  <si>
    <t>供奉丨麻雀</t>
  </si>
  <si>
    <t>鲖鲖的阳</t>
  </si>
  <si>
    <t>火锅丨憨憨牛</t>
  </si>
  <si>
    <t>由一</t>
  </si>
  <si>
    <t>火锅丨喇叭芽</t>
  </si>
  <si>
    <t>杂役丨薯泥</t>
  </si>
  <si>
    <t>火锅丨白鱼</t>
  </si>
  <si>
    <t>杂役丨胖子</t>
  </si>
  <si>
    <t>富贵六六六</t>
  </si>
  <si>
    <t>醉红尘镇九州</t>
  </si>
  <si>
    <t>承丨天命</t>
  </si>
  <si>
    <t>入室丨小千</t>
  </si>
  <si>
    <t>火锅丨锅</t>
  </si>
  <si>
    <t>火锅丨冰美式</t>
  </si>
  <si>
    <t>火锅丨冯校长</t>
  </si>
  <si>
    <t>火锅丨万花筒</t>
  </si>
  <si>
    <t>我监督沙瑞金</t>
  </si>
  <si>
    <t>火锅丨明煌</t>
  </si>
  <si>
    <t>海绵宝宝</t>
  </si>
  <si>
    <t>火锅丨手切肉</t>
  </si>
  <si>
    <t>火锅丨麦满分</t>
  </si>
  <si>
    <t>不吃鱼的猫</t>
  </si>
  <si>
    <t>山匪德械师</t>
  </si>
  <si>
    <t>悦岁安</t>
  </si>
  <si>
    <t>阿尘</t>
  </si>
  <si>
    <t>火锅丨傻鱼</t>
  </si>
  <si>
    <t>雅雅子</t>
  </si>
  <si>
    <t>山匪丨虾仁饭</t>
  </si>
  <si>
    <t>客卿丨青山</t>
  </si>
  <si>
    <t>蔷薇丨混子</t>
  </si>
  <si>
    <t>蔷薇丨云螭</t>
  </si>
  <si>
    <t>蔷薇丨嘿嘿虎</t>
  </si>
  <si>
    <t>蔷薇丨随缘</t>
  </si>
  <si>
    <t>蔷薇丨天佑</t>
  </si>
  <si>
    <t>蔷薇丨凤铎</t>
  </si>
  <si>
    <t>蔷薇丨大果粒</t>
  </si>
  <si>
    <t>蔷薇丨铁拳</t>
  </si>
  <si>
    <t>蔷薇丨西门塔</t>
  </si>
  <si>
    <t>蔷薇丨你干嘛</t>
  </si>
  <si>
    <t>蔷薇丨珊</t>
  </si>
  <si>
    <t>蔷薇丨二哈</t>
  </si>
  <si>
    <t>蔷薇丨云初月</t>
  </si>
  <si>
    <t>西门吹雪</t>
  </si>
  <si>
    <t>蔷薇丨旧庐</t>
  </si>
  <si>
    <t>蔷薇丨无妄子</t>
  </si>
  <si>
    <t>蔷薇丨黑和尚</t>
  </si>
  <si>
    <t>蔷薇丨牧佰牛</t>
  </si>
  <si>
    <t>蔷薇丨王爷</t>
  </si>
  <si>
    <t>蔷薇丨时情</t>
  </si>
  <si>
    <t>蔷薇丨阿丶秋</t>
  </si>
  <si>
    <t>蔷薇丨笑凝渊</t>
  </si>
  <si>
    <t>蔷薇丨狐狸</t>
  </si>
  <si>
    <t>蔷薇丨夜明</t>
  </si>
  <si>
    <t>蔷薇丨女娲</t>
  </si>
  <si>
    <t>蔷薇丨跳跳</t>
  </si>
  <si>
    <t>蔷薇丨邹先森</t>
  </si>
  <si>
    <t>蔷薇丨武逆</t>
  </si>
  <si>
    <t>蔷薇丨哀伤</t>
  </si>
  <si>
    <t>蔷薇丨阳明</t>
  </si>
  <si>
    <t>蔷薇丨玖陆</t>
  </si>
  <si>
    <t>蔷薇丨雪碧</t>
  </si>
  <si>
    <t>蔷薇丨贡橙</t>
  </si>
  <si>
    <t>蔷薇丨盾击</t>
  </si>
  <si>
    <t>蔷薇丨月下</t>
  </si>
  <si>
    <t>蔷薇丨减减肥</t>
  </si>
  <si>
    <t>万骨枯丶</t>
  </si>
  <si>
    <t>蔷薇丨猫片</t>
  </si>
  <si>
    <t>蔷薇丨天心</t>
  </si>
  <si>
    <t>蔷薇丨好运姐</t>
  </si>
  <si>
    <t>花满楼</t>
  </si>
  <si>
    <t>饭团丨帅比</t>
  </si>
  <si>
    <t>饭丨夜风尘</t>
  </si>
  <si>
    <t>饭丨丞丞</t>
  </si>
  <si>
    <t>饭丨饭饭</t>
  </si>
  <si>
    <t>饭丨天意难违</t>
  </si>
  <si>
    <t>花语初凉</t>
  </si>
  <si>
    <t>饭丨雪霁</t>
  </si>
  <si>
    <t>饭丨桶</t>
  </si>
  <si>
    <t>饭丨尼若</t>
  </si>
  <si>
    <t>饭丨锦叶</t>
  </si>
  <si>
    <t>隼丨晴转多云</t>
  </si>
  <si>
    <t>饭丨澈澈</t>
  </si>
  <si>
    <t>饭丨安静</t>
  </si>
  <si>
    <t>饭丨吴彦祖</t>
  </si>
  <si>
    <t>只吃饭不洗碗</t>
  </si>
  <si>
    <t>饭丨冰冰</t>
  </si>
  <si>
    <t>月野眠</t>
  </si>
  <si>
    <t>饭丨碧水尘烟</t>
  </si>
  <si>
    <t>饭丨寒江</t>
  </si>
  <si>
    <t>饭丨黄礼志</t>
  </si>
  <si>
    <t>饭丨伯约</t>
  </si>
  <si>
    <t>饭丨风云</t>
  </si>
  <si>
    <t>饭丨月色</t>
  </si>
  <si>
    <t>饭丨赤色彗星</t>
  </si>
  <si>
    <t>千亦</t>
  </si>
  <si>
    <t>赋值</t>
  </si>
  <si>
    <t>同盟阁等级</t>
  </si>
  <si>
    <t>首周必达武勋</t>
  </si>
  <si>
    <t>首周挑战武勋</t>
  </si>
  <si>
    <t>日均</t>
  </si>
  <si>
    <t>千五</t>
  </si>
  <si>
    <t>千六</t>
  </si>
  <si>
    <t>千七</t>
  </si>
  <si>
    <t>千八</t>
  </si>
  <si>
    <t>千九</t>
  </si>
  <si>
    <t>万一</t>
  </si>
  <si>
    <t>万二</t>
  </si>
  <si>
    <t>万三</t>
  </si>
  <si>
    <t>万四</t>
  </si>
  <si>
    <t>万五</t>
  </si>
  <si>
    <t>万六</t>
  </si>
  <si>
    <t>万七</t>
  </si>
  <si>
    <t>万八</t>
  </si>
  <si>
    <t>万九</t>
  </si>
  <si>
    <t>大圆满</t>
  </si>
  <si>
    <t>极一</t>
  </si>
  <si>
    <t>极二</t>
  </si>
  <si>
    <t>极三</t>
  </si>
  <si>
    <t>极四</t>
  </si>
  <si>
    <t>极五</t>
  </si>
  <si>
    <t>首日</t>
  </si>
  <si>
    <t>次日</t>
  </si>
  <si>
    <t>第三天</t>
  </si>
  <si>
    <t>拉</t>
  </si>
  <si>
    <t>NPC</t>
  </si>
  <si>
    <t>人上人</t>
  </si>
  <si>
    <t>顶级</t>
  </si>
  <si>
    <t>夯</t>
  </si>
  <si>
    <t>S15</t>
  </si>
  <si>
    <t>宏观调控</t>
  </si>
  <si>
    <t>千六-千九</t>
  </si>
  <si>
    <t xml:space="preserve"> </t>
  </si>
  <si>
    <t>万一-万五</t>
  </si>
  <si>
    <t>万六-大圆满</t>
  </si>
  <si>
    <t>极一-极五</t>
  </si>
  <si>
    <t>攻城总次数</t>
  </si>
  <si>
    <t>SS+</t>
  </si>
  <si>
    <t>SS</t>
  </si>
  <si>
    <t>S+</t>
  </si>
  <si>
    <t>S</t>
  </si>
  <si>
    <t>A+</t>
  </si>
  <si>
    <t>A</t>
  </si>
  <si>
    <t>B+</t>
  </si>
  <si>
    <t>B</t>
  </si>
  <si>
    <t>C+</t>
  </si>
  <si>
    <t>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</si>
</sst>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_-* #,##0_-;\-* #,##0_-;_-* &quot;-&quot;??_-;_-@_-"/>
  </numFmts>
  <fonts count="24"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176" fontId="2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1" fillId="0" borderId="0"/>
    <xf numFmtId="0" fontId="2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177" fontId="0" fillId="0" borderId="1" xfId="1" applyNumberFormat="1" applyFont="1" applyBorder="1" applyAlignment="1">
      <alignment vertical="center"/>
    </xf>
    <xf numFmtId="0" fontId="1" fillId="0" borderId="0" xfId="50"/>
    <xf numFmtId="0" fontId="1" fillId="0" borderId="0" xfId="50" applyFont="1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3" xfId="50"/>
    <cellStyle name="常规 2" xfId="51"/>
  </cellStyles>
  <dxfs count="24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TableStylePreset8_Accent1 1" pivot="0" count="7" xr9:uid="{B2C554AB-3C06-4FB6-9F28-39F1D7317112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222"/>
  <sheetViews>
    <sheetView tabSelected="1" workbookViewId="0">
      <selection activeCell="M13" sqref="M13"/>
    </sheetView>
  </sheetViews>
  <sheetFormatPr defaultColWidth="8.90769230769231" defaultRowHeight="14"/>
  <cols>
    <col min="1" max="1" width="10.8153846153846" style="3" customWidth="1"/>
    <col min="2" max="16384" width="8.90769230769231" style="3"/>
  </cols>
  <sheetData>
    <row r="1" spans="1:1">
      <c r="A1" s="3" t="s">
        <v>0</v>
      </c>
    </row>
    <row r="2" spans="1:1">
      <c r="A2" s="3" t="s">
        <v>1</v>
      </c>
    </row>
    <row r="3" spans="1:1">
      <c r="A3" s="3" t="s">
        <v>2</v>
      </c>
    </row>
    <row r="4" spans="1:1">
      <c r="A4" s="3" t="s">
        <v>3</v>
      </c>
    </row>
    <row r="5" spans="1:1">
      <c r="A5" s="3" t="s">
        <v>4</v>
      </c>
    </row>
    <row r="6" spans="1:1">
      <c r="A6" s="3" t="s">
        <v>5</v>
      </c>
    </row>
    <row r="7" spans="1:1">
      <c r="A7" s="3" t="s">
        <v>6</v>
      </c>
    </row>
    <row r="8" spans="1:1">
      <c r="A8" s="3" t="s">
        <v>7</v>
      </c>
    </row>
    <row r="9" spans="1:1">
      <c r="A9" s="3" t="s">
        <v>8</v>
      </c>
    </row>
    <row r="10" spans="1:1">
      <c r="A10" s="3" t="s">
        <v>9</v>
      </c>
    </row>
    <row r="11" spans="1:1">
      <c r="A11" s="3" t="s">
        <v>10</v>
      </c>
    </row>
    <row r="12" spans="1:1">
      <c r="A12" s="3" t="s">
        <v>11</v>
      </c>
    </row>
    <row r="13" spans="1:1">
      <c r="A13" s="3" t="s">
        <v>12</v>
      </c>
    </row>
    <row r="14" spans="1:1">
      <c r="A14" s="3" t="s">
        <v>13</v>
      </c>
    </row>
    <row r="15" spans="1:1">
      <c r="A15" s="3" t="s">
        <v>14</v>
      </c>
    </row>
    <row r="16" spans="1:1">
      <c r="A16" s="3" t="s">
        <v>15</v>
      </c>
    </row>
    <row r="17" spans="1:1">
      <c r="A17" s="3" t="s">
        <v>16</v>
      </c>
    </row>
    <row r="18" spans="1:1">
      <c r="A18" s="3" t="s">
        <v>17</v>
      </c>
    </row>
    <row r="19" spans="1:1">
      <c r="A19" s="3" t="s">
        <v>18</v>
      </c>
    </row>
    <row r="20" ht="16.5" spans="1:1">
      <c r="A20" s="3" t="s">
        <v>19</v>
      </c>
    </row>
    <row r="21" ht="16.5" spans="1:1">
      <c r="A21" s="3" t="s">
        <v>20</v>
      </c>
    </row>
    <row r="22" ht="16.5" spans="1:1">
      <c r="A22" s="3" t="s">
        <v>21</v>
      </c>
    </row>
    <row r="23" ht="16.5" spans="1:1">
      <c r="A23" s="3" t="s">
        <v>22</v>
      </c>
    </row>
    <row r="24" ht="16.5" spans="1:1">
      <c r="A24" s="3" t="s">
        <v>23</v>
      </c>
    </row>
    <row r="25" ht="16.5" spans="1:1">
      <c r="A25" s="3" t="s">
        <v>24</v>
      </c>
    </row>
    <row r="26" ht="16.5" spans="1:1">
      <c r="A26" s="3" t="s">
        <v>25</v>
      </c>
    </row>
    <row r="27" ht="16.5" spans="1:1">
      <c r="A27" s="3" t="s">
        <v>26</v>
      </c>
    </row>
    <row r="28" ht="16.5" spans="1:1">
      <c r="A28" s="3" t="s">
        <v>27</v>
      </c>
    </row>
    <row r="29" ht="16.5" spans="1:1">
      <c r="A29" s="3" t="s">
        <v>28</v>
      </c>
    </row>
    <row r="30" ht="16.5" spans="1:1">
      <c r="A30" s="3" t="s">
        <v>29</v>
      </c>
    </row>
    <row r="31" ht="16.5" spans="1:1">
      <c r="A31" s="3" t="s">
        <v>30</v>
      </c>
    </row>
    <row r="32" ht="16.5" spans="1:1">
      <c r="A32" s="3" t="s">
        <v>31</v>
      </c>
    </row>
    <row r="33" ht="16.5" spans="1:1">
      <c r="A33" s="3" t="s">
        <v>32</v>
      </c>
    </row>
    <row r="34" ht="16.5" spans="1:1">
      <c r="A34" s="3" t="s">
        <v>33</v>
      </c>
    </row>
    <row r="35" ht="16.5" spans="1:1">
      <c r="A35" s="3" t="s">
        <v>34</v>
      </c>
    </row>
    <row r="36" ht="16.5" spans="1:1">
      <c r="A36" s="3" t="s">
        <v>35</v>
      </c>
    </row>
    <row r="37" ht="16.5" spans="1:1">
      <c r="A37" s="3" t="s">
        <v>36</v>
      </c>
    </row>
    <row r="38" ht="16.5" spans="1:1">
      <c r="A38" s="3" t="s">
        <v>37</v>
      </c>
    </row>
    <row r="39" ht="16.5" spans="1:1">
      <c r="A39" s="3" t="s">
        <v>38</v>
      </c>
    </row>
    <row r="40" ht="16.5" spans="1:1">
      <c r="A40" s="3" t="s">
        <v>39</v>
      </c>
    </row>
    <row r="41" ht="16.5" spans="1:1">
      <c r="A41" s="3" t="s">
        <v>40</v>
      </c>
    </row>
    <row r="42" ht="16.5" spans="1:1">
      <c r="A42" s="3" t="s">
        <v>41</v>
      </c>
    </row>
    <row r="43" ht="16.5" spans="1:1">
      <c r="A43" s="3" t="s">
        <v>42</v>
      </c>
    </row>
    <row r="44" ht="16.5" spans="1:1">
      <c r="A44" s="3" t="s">
        <v>43</v>
      </c>
    </row>
    <row r="45" ht="16.5" spans="1:1">
      <c r="A45" s="3" t="s">
        <v>44</v>
      </c>
    </row>
    <row r="46" ht="16.5" spans="1:1">
      <c r="A46" s="3" t="s">
        <v>45</v>
      </c>
    </row>
    <row r="47" ht="16.5" spans="1:1">
      <c r="A47" s="3" t="s">
        <v>46</v>
      </c>
    </row>
    <row r="48" ht="16.5" spans="1:1">
      <c r="A48" s="3" t="s">
        <v>47</v>
      </c>
    </row>
    <row r="49" ht="16.5" spans="1:1">
      <c r="A49" s="3" t="s">
        <v>48</v>
      </c>
    </row>
    <row r="50" ht="16.5" spans="1:1">
      <c r="A50" s="3" t="s">
        <v>49</v>
      </c>
    </row>
    <row r="51" ht="16.5" spans="1:1">
      <c r="A51" s="3" t="s">
        <v>50</v>
      </c>
    </row>
    <row r="52" ht="16.5" spans="1:1">
      <c r="A52" s="3" t="s">
        <v>51</v>
      </c>
    </row>
    <row r="53" ht="16.5" spans="1:1">
      <c r="A53" s="3" t="s">
        <v>52</v>
      </c>
    </row>
    <row r="54" ht="16.5" spans="1:1">
      <c r="A54" s="3" t="s">
        <v>53</v>
      </c>
    </row>
    <row r="55" ht="16.5" spans="1:1">
      <c r="A55" s="3" t="s">
        <v>54</v>
      </c>
    </row>
    <row r="56" ht="16.5" spans="1:1">
      <c r="A56" s="3" t="s">
        <v>55</v>
      </c>
    </row>
    <row r="57" ht="16.5" spans="1:1">
      <c r="A57" s="3" t="s">
        <v>56</v>
      </c>
    </row>
    <row r="58" ht="16.5" spans="1:1">
      <c r="A58" s="3" t="s">
        <v>57</v>
      </c>
    </row>
    <row r="59" ht="16.5" spans="1:1">
      <c r="A59" s="3" t="s">
        <v>58</v>
      </c>
    </row>
    <row r="60" ht="16.5" spans="1:1">
      <c r="A60" s="3" t="s">
        <v>59</v>
      </c>
    </row>
    <row r="61" ht="16.5" spans="1:1">
      <c r="A61" s="3" t="s">
        <v>60</v>
      </c>
    </row>
    <row r="62" ht="16.5" spans="1:1">
      <c r="A62" s="3" t="s">
        <v>61</v>
      </c>
    </row>
    <row r="63" ht="16.5" spans="1:1">
      <c r="A63" s="3" t="s">
        <v>62</v>
      </c>
    </row>
    <row r="64" ht="16.5" spans="1:1">
      <c r="A64" s="3" t="s">
        <v>63</v>
      </c>
    </row>
    <row r="65" ht="16.5" spans="1:1">
      <c r="A65" s="3" t="s">
        <v>64</v>
      </c>
    </row>
    <row r="66" ht="16.5" spans="1:1">
      <c r="A66" s="3" t="s">
        <v>65</v>
      </c>
    </row>
    <row r="67" ht="16.5" spans="1:1">
      <c r="A67" s="3" t="s">
        <v>66</v>
      </c>
    </row>
    <row r="68" ht="16.5" spans="1:1">
      <c r="A68" s="3" t="s">
        <v>67</v>
      </c>
    </row>
    <row r="69" ht="16.5" spans="1:1">
      <c r="A69" s="3" t="s">
        <v>68</v>
      </c>
    </row>
    <row r="70" ht="16.5" spans="1:1">
      <c r="A70" s="3" t="s">
        <v>69</v>
      </c>
    </row>
    <row r="71" ht="16.5" spans="1:1">
      <c r="A71" s="3" t="s">
        <v>70</v>
      </c>
    </row>
    <row r="72" ht="16.5" spans="1:1">
      <c r="A72" s="3" t="s">
        <v>71</v>
      </c>
    </row>
    <row r="73" ht="16.5" spans="1:1">
      <c r="A73" s="3" t="s">
        <v>72</v>
      </c>
    </row>
    <row r="74" ht="16.5" spans="1:1">
      <c r="A74" s="3" t="s">
        <v>73</v>
      </c>
    </row>
    <row r="75" ht="16.5" spans="1:1">
      <c r="A75" s="3" t="s">
        <v>74</v>
      </c>
    </row>
    <row r="76" ht="16.5" spans="1:1">
      <c r="A76" s="3" t="s">
        <v>75</v>
      </c>
    </row>
    <row r="77" ht="16.5" spans="1:1">
      <c r="A77" s="3" t="s">
        <v>76</v>
      </c>
    </row>
    <row r="78" ht="16.5" spans="1:1">
      <c r="A78" s="3" t="s">
        <v>77</v>
      </c>
    </row>
    <row r="79" ht="16.5" spans="1:1">
      <c r="A79" s="3" t="s">
        <v>78</v>
      </c>
    </row>
    <row r="80" ht="16.5" spans="1:1">
      <c r="A80" s="3" t="s">
        <v>79</v>
      </c>
    </row>
    <row r="81" ht="16.5" spans="1:1">
      <c r="A81" s="3" t="s">
        <v>80</v>
      </c>
    </row>
    <row r="82" ht="16.5" spans="1:1">
      <c r="A82" s="3" t="s">
        <v>81</v>
      </c>
    </row>
    <row r="83" ht="16.5" spans="1:1">
      <c r="A83" s="3" t="s">
        <v>82</v>
      </c>
    </row>
    <row r="84" ht="16.5" spans="1:1">
      <c r="A84" s="3" t="s">
        <v>83</v>
      </c>
    </row>
    <row r="85" ht="16.5" spans="1:1">
      <c r="A85" s="3" t="s">
        <v>84</v>
      </c>
    </row>
    <row r="86" ht="16.5" spans="1:1">
      <c r="A86" s="3" t="s">
        <v>85</v>
      </c>
    </row>
    <row r="87" ht="16.5" spans="1:1">
      <c r="A87" s="3" t="s">
        <v>86</v>
      </c>
    </row>
    <row r="88" ht="16.5" spans="1:1">
      <c r="A88" s="3" t="s">
        <v>87</v>
      </c>
    </row>
    <row r="89" ht="16.5" spans="1:1">
      <c r="A89" s="3" t="s">
        <v>88</v>
      </c>
    </row>
    <row r="90" ht="16.5" spans="1:1">
      <c r="A90" s="3" t="s">
        <v>89</v>
      </c>
    </row>
    <row r="91" ht="16.5" spans="1:1">
      <c r="A91" s="3" t="s">
        <v>90</v>
      </c>
    </row>
    <row r="92" ht="16.5" spans="1:1">
      <c r="A92" s="3" t="s">
        <v>91</v>
      </c>
    </row>
    <row r="93" ht="16.5" spans="1:1">
      <c r="A93" s="3" t="s">
        <v>92</v>
      </c>
    </row>
    <row r="94" ht="16.5" spans="1:1">
      <c r="A94" s="3" t="s">
        <v>93</v>
      </c>
    </row>
    <row r="95" ht="16.5" spans="1:1">
      <c r="A95" s="3" t="s">
        <v>94</v>
      </c>
    </row>
    <row r="96" ht="16.5" spans="1:1">
      <c r="A96" s="3" t="s">
        <v>95</v>
      </c>
    </row>
    <row r="97" ht="16.5" spans="1:1">
      <c r="A97" s="3" t="s">
        <v>96</v>
      </c>
    </row>
    <row r="98" ht="16.5" spans="1:1">
      <c r="A98" s="3" t="s">
        <v>97</v>
      </c>
    </row>
    <row r="99" ht="16.5" spans="1:1">
      <c r="A99" s="3" t="s">
        <v>98</v>
      </c>
    </row>
    <row r="100" ht="16.5" spans="1:1">
      <c r="A100" s="3" t="s">
        <v>99</v>
      </c>
    </row>
    <row r="101" ht="16.5" spans="1:1">
      <c r="A101" s="3" t="s">
        <v>100</v>
      </c>
    </row>
    <row r="102" ht="16.5" spans="1:1">
      <c r="A102" s="3" t="s">
        <v>101</v>
      </c>
    </row>
    <row r="103" ht="16.5" spans="1:1">
      <c r="A103" s="3" t="s">
        <v>102</v>
      </c>
    </row>
    <row r="104" ht="16.5" spans="1:1">
      <c r="A104" s="3" t="s">
        <v>103</v>
      </c>
    </row>
    <row r="105" ht="16.5" spans="1:1">
      <c r="A105" s="3" t="s">
        <v>104</v>
      </c>
    </row>
    <row r="106" ht="16.5" spans="1:1">
      <c r="A106" s="3" t="s">
        <v>105</v>
      </c>
    </row>
    <row r="107" ht="16.5" spans="1:1">
      <c r="A107" s="3" t="s">
        <v>106</v>
      </c>
    </row>
    <row r="108" ht="16.5" spans="1:1">
      <c r="A108" s="3" t="s">
        <v>107</v>
      </c>
    </row>
    <row r="109" ht="16.5" spans="1:1">
      <c r="A109" s="3" t="s">
        <v>108</v>
      </c>
    </row>
    <row r="110" ht="16.5" spans="1:1">
      <c r="A110" s="3" t="s">
        <v>109</v>
      </c>
    </row>
    <row r="111" ht="16.5" spans="1:1">
      <c r="A111" s="3" t="s">
        <v>110</v>
      </c>
    </row>
    <row r="112" ht="16.5" spans="1:1">
      <c r="A112" s="3" t="s">
        <v>111</v>
      </c>
    </row>
    <row r="113" ht="16.5" spans="1:1">
      <c r="A113" s="3" t="s">
        <v>112</v>
      </c>
    </row>
    <row r="114" ht="16.5" spans="1:1">
      <c r="A114" s="3" t="s">
        <v>113</v>
      </c>
    </row>
    <row r="115" ht="16.5" spans="1:1">
      <c r="A115" s="3" t="s">
        <v>114</v>
      </c>
    </row>
    <row r="116" ht="16.5" spans="1:1">
      <c r="A116" s="3" t="s">
        <v>115</v>
      </c>
    </row>
    <row r="117" ht="16.5" spans="1:1">
      <c r="A117" s="3" t="s">
        <v>116</v>
      </c>
    </row>
    <row r="118" ht="16.5" spans="1:1">
      <c r="A118" s="3" t="s">
        <v>117</v>
      </c>
    </row>
    <row r="119" ht="16.5" spans="1:1">
      <c r="A119" s="3" t="s">
        <v>118</v>
      </c>
    </row>
    <row r="120" ht="16.5" spans="1:1">
      <c r="A120" s="3" t="s">
        <v>119</v>
      </c>
    </row>
    <row r="121" ht="16.5" spans="1:1">
      <c r="A121" s="3" t="s">
        <v>120</v>
      </c>
    </row>
    <row r="122" ht="16.5" spans="1:1">
      <c r="A122" s="3" t="s">
        <v>121</v>
      </c>
    </row>
    <row r="123" ht="16.5" spans="1:1">
      <c r="A123" s="3" t="s">
        <v>122</v>
      </c>
    </row>
    <row r="124" ht="16.5" spans="1:1">
      <c r="A124" s="3" t="s">
        <v>123</v>
      </c>
    </row>
    <row r="125" ht="16.5" spans="1:1">
      <c r="A125" s="3" t="s">
        <v>124</v>
      </c>
    </row>
    <row r="126" ht="16.5" spans="1:1">
      <c r="A126" s="3" t="s">
        <v>125</v>
      </c>
    </row>
    <row r="127" ht="16.5" spans="1:1">
      <c r="A127" s="3" t="s">
        <v>126</v>
      </c>
    </row>
    <row r="128" ht="16.5" spans="1:1">
      <c r="A128" s="3" t="s">
        <v>127</v>
      </c>
    </row>
    <row r="129" ht="16.5" spans="1:1">
      <c r="A129" s="3" t="s">
        <v>128</v>
      </c>
    </row>
    <row r="130" ht="16.5" spans="1:1">
      <c r="A130" s="3" t="s">
        <v>129</v>
      </c>
    </row>
    <row r="131" ht="16.5" spans="1:1">
      <c r="A131" s="3" t="s">
        <v>130</v>
      </c>
    </row>
    <row r="132" ht="16.5" spans="1:1">
      <c r="A132" s="3" t="s">
        <v>131</v>
      </c>
    </row>
    <row r="133" ht="16.5" spans="1:1">
      <c r="A133" s="3" t="s">
        <v>132</v>
      </c>
    </row>
    <row r="134" ht="16.5" spans="1:1">
      <c r="A134" s="3" t="s">
        <v>133</v>
      </c>
    </row>
    <row r="135" ht="16.5" spans="1:1">
      <c r="A135" s="3" t="s">
        <v>134</v>
      </c>
    </row>
    <row r="136" ht="16.5" spans="1:1">
      <c r="A136" s="3" t="s">
        <v>135</v>
      </c>
    </row>
    <row r="137" ht="16.5" spans="1:1">
      <c r="A137" s="3" t="s">
        <v>136</v>
      </c>
    </row>
    <row r="138" ht="16.5" spans="1:1">
      <c r="A138" s="3" t="s">
        <v>137</v>
      </c>
    </row>
    <row r="139" ht="16.5" spans="1:1">
      <c r="A139" s="3" t="s">
        <v>138</v>
      </c>
    </row>
    <row r="140" ht="16.5" spans="1:1">
      <c r="A140" s="3" t="s">
        <v>139</v>
      </c>
    </row>
    <row r="141" ht="16.5" spans="1:1">
      <c r="A141" s="3" t="s">
        <v>140</v>
      </c>
    </row>
    <row r="142" ht="16.5" spans="1:1">
      <c r="A142" s="3" t="s">
        <v>141</v>
      </c>
    </row>
    <row r="143" ht="16.5" spans="1:1">
      <c r="A143" s="3" t="s">
        <v>142</v>
      </c>
    </row>
    <row r="144" ht="16.5" spans="1:1">
      <c r="A144" s="3" t="s">
        <v>143</v>
      </c>
    </row>
    <row r="145" ht="16.5" spans="1:1">
      <c r="A145" s="3" t="s">
        <v>144</v>
      </c>
    </row>
    <row r="146" ht="16.5" spans="1:1">
      <c r="A146" s="3" t="s">
        <v>145</v>
      </c>
    </row>
    <row r="147" ht="16.5" spans="1:1">
      <c r="A147" s="3" t="s">
        <v>146</v>
      </c>
    </row>
    <row r="148" ht="16.5" spans="1:1">
      <c r="A148" s="3" t="s">
        <v>147</v>
      </c>
    </row>
    <row r="149" ht="16.5" spans="1:1">
      <c r="A149" s="3" t="s">
        <v>148</v>
      </c>
    </row>
    <row r="150" ht="16.5" spans="1:1">
      <c r="A150" s="3" t="s">
        <v>149</v>
      </c>
    </row>
    <row r="151" ht="16.5" spans="1:1">
      <c r="A151" s="3" t="s">
        <v>150</v>
      </c>
    </row>
    <row r="152" ht="16.5" spans="1:1">
      <c r="A152" s="3" t="s">
        <v>151</v>
      </c>
    </row>
    <row r="153" ht="16.5" spans="1:1">
      <c r="A153" s="3" t="s">
        <v>152</v>
      </c>
    </row>
    <row r="154" ht="16.5" spans="1:1">
      <c r="A154" s="3" t="s">
        <v>153</v>
      </c>
    </row>
    <row r="155" ht="16.5" spans="1:1">
      <c r="A155" s="3" t="s">
        <v>154</v>
      </c>
    </row>
    <row r="156" ht="16.5" spans="1:1">
      <c r="A156" s="3" t="s">
        <v>155</v>
      </c>
    </row>
    <row r="157" ht="16.5" spans="1:1">
      <c r="A157" s="3" t="s">
        <v>156</v>
      </c>
    </row>
    <row r="158" ht="16.5" spans="1:1">
      <c r="A158" s="3" t="s">
        <v>157</v>
      </c>
    </row>
    <row r="159" ht="16.5" spans="1:1">
      <c r="A159" s="3" t="s">
        <v>158</v>
      </c>
    </row>
    <row r="160" ht="16.5" spans="1:1">
      <c r="A160" s="3" t="s">
        <v>159</v>
      </c>
    </row>
    <row r="161" ht="16.5" spans="1:1">
      <c r="A161" s="3" t="s">
        <v>160</v>
      </c>
    </row>
    <row r="162" ht="16.5" spans="1:1">
      <c r="A162" s="3" t="s">
        <v>161</v>
      </c>
    </row>
    <row r="163" ht="16.5" spans="1:1">
      <c r="A163" s="3" t="s">
        <v>162</v>
      </c>
    </row>
    <row r="164" ht="16.5" spans="1:1">
      <c r="A164" s="3" t="s">
        <v>163</v>
      </c>
    </row>
    <row r="165" ht="16.5" spans="1:1">
      <c r="A165" s="3" t="s">
        <v>164</v>
      </c>
    </row>
    <row r="166" ht="16.5" spans="1:1">
      <c r="A166" s="3" t="s">
        <v>165</v>
      </c>
    </row>
    <row r="167" ht="16.5" spans="1:1">
      <c r="A167" s="3" t="s">
        <v>166</v>
      </c>
    </row>
    <row r="168" ht="16.5" spans="1:1">
      <c r="A168" s="3" t="s">
        <v>167</v>
      </c>
    </row>
    <row r="169" ht="16.5" spans="1:1">
      <c r="A169" s="3" t="s">
        <v>168</v>
      </c>
    </row>
    <row r="170" ht="16.5" spans="1:1">
      <c r="A170" s="3" t="s">
        <v>169</v>
      </c>
    </row>
    <row r="171" ht="16.5" spans="1:1">
      <c r="A171" s="3" t="s">
        <v>170</v>
      </c>
    </row>
    <row r="172" ht="16.5" spans="1:1">
      <c r="A172" s="3" t="s">
        <v>171</v>
      </c>
    </row>
    <row r="173" ht="16.5" spans="1:1">
      <c r="A173" s="3" t="s">
        <v>172</v>
      </c>
    </row>
    <row r="174" ht="16.5" spans="1:1">
      <c r="A174" s="3" t="s">
        <v>173</v>
      </c>
    </row>
    <row r="175" ht="16.5" spans="1:1">
      <c r="A175" s="3" t="s">
        <v>174</v>
      </c>
    </row>
    <row r="176" ht="16.5" spans="1:1">
      <c r="A176" s="3" t="s">
        <v>175</v>
      </c>
    </row>
    <row r="177" ht="16.5" spans="1:1">
      <c r="A177" s="3" t="s">
        <v>176</v>
      </c>
    </row>
    <row r="178" ht="16.5" spans="1:1">
      <c r="A178" s="3" t="s">
        <v>177</v>
      </c>
    </row>
    <row r="179" ht="16.5" spans="1:1">
      <c r="A179" s="3" t="s">
        <v>178</v>
      </c>
    </row>
    <row r="180" ht="16.5" spans="1:1">
      <c r="A180" s="3" t="s">
        <v>179</v>
      </c>
    </row>
    <row r="181" ht="16.5" spans="1:1">
      <c r="A181" s="3" t="s">
        <v>180</v>
      </c>
    </row>
    <row r="182" ht="16.5" spans="1:1">
      <c r="A182" s="3" t="s">
        <v>181</v>
      </c>
    </row>
    <row r="183" ht="16.5" spans="1:1">
      <c r="A183" s="3" t="s">
        <v>182</v>
      </c>
    </row>
    <row r="184" ht="16.5" spans="1:1">
      <c r="A184" s="3" t="s">
        <v>183</v>
      </c>
    </row>
    <row r="185" ht="16.5" spans="1:1">
      <c r="A185" s="3" t="s">
        <v>184</v>
      </c>
    </row>
    <row r="186" ht="16.5" spans="1:1">
      <c r="A186" s="3" t="s">
        <v>185</v>
      </c>
    </row>
    <row r="187" ht="16.5" spans="1:1">
      <c r="A187" s="3" t="s">
        <v>186</v>
      </c>
    </row>
    <row r="188" ht="16.5" spans="1:1">
      <c r="A188" s="3" t="s">
        <v>187</v>
      </c>
    </row>
    <row r="189" ht="16.5" spans="1:1">
      <c r="A189" s="3" t="s">
        <v>188</v>
      </c>
    </row>
    <row r="190" ht="16.5" spans="1:1">
      <c r="A190" s="3" t="s">
        <v>189</v>
      </c>
    </row>
    <row r="191" ht="16.5" spans="1:1">
      <c r="A191" s="3" t="s">
        <v>190</v>
      </c>
    </row>
    <row r="192" ht="16.5" spans="1:1">
      <c r="A192" s="3" t="s">
        <v>191</v>
      </c>
    </row>
    <row r="193" ht="16.5" spans="1:1">
      <c r="A193" s="3" t="s">
        <v>192</v>
      </c>
    </row>
    <row r="194" ht="16.5" spans="1:1">
      <c r="A194" s="3" t="s">
        <v>193</v>
      </c>
    </row>
    <row r="195" ht="16.5" spans="1:1">
      <c r="A195" s="3" t="s">
        <v>194</v>
      </c>
    </row>
    <row r="196" ht="16.5" spans="1:1">
      <c r="A196" s="3" t="s">
        <v>195</v>
      </c>
    </row>
    <row r="197" ht="16.5" spans="1:1">
      <c r="A197" s="4" t="s">
        <v>196</v>
      </c>
    </row>
    <row r="198" ht="16.5" spans="1:1">
      <c r="A198" s="3" t="s">
        <v>197</v>
      </c>
    </row>
    <row r="199" ht="16.5" spans="1:1">
      <c r="A199" s="3" t="s">
        <v>198</v>
      </c>
    </row>
    <row r="200" ht="16.5" spans="1:1">
      <c r="A200" s="3" t="s">
        <v>199</v>
      </c>
    </row>
    <row r="201" ht="16.5" spans="1:1">
      <c r="A201" s="3" t="s">
        <v>200</v>
      </c>
    </row>
    <row r="202" ht="16.5" spans="1:1">
      <c r="A202" s="3" t="s">
        <v>201</v>
      </c>
    </row>
    <row r="203" ht="16.5" spans="1:1">
      <c r="A203" s="3" t="s">
        <v>202</v>
      </c>
    </row>
    <row r="204" ht="16.5" spans="1:1">
      <c r="A204" s="3" t="s">
        <v>203</v>
      </c>
    </row>
    <row r="205" ht="16.5" spans="1:1">
      <c r="A205" s="3" t="s">
        <v>204</v>
      </c>
    </row>
    <row r="206" ht="16.5" spans="1:1">
      <c r="A206" s="3" t="s">
        <v>205</v>
      </c>
    </row>
    <row r="207" ht="16.5" spans="1:1">
      <c r="A207" s="3" t="s">
        <v>206</v>
      </c>
    </row>
    <row r="208" ht="16.5" spans="1:1">
      <c r="A208" s="3" t="s">
        <v>207</v>
      </c>
    </row>
    <row r="209" ht="16.5" spans="1:1">
      <c r="A209" s="3" t="s">
        <v>208</v>
      </c>
    </row>
    <row r="210" ht="16.5" spans="1:1">
      <c r="A210" s="3" t="s">
        <v>209</v>
      </c>
    </row>
    <row r="211" ht="16.5" spans="1:1">
      <c r="A211" s="3" t="s">
        <v>210</v>
      </c>
    </row>
    <row r="212" ht="16.5" spans="1:1">
      <c r="A212" s="3" t="s">
        <v>211</v>
      </c>
    </row>
    <row r="213" ht="16.5" spans="1:1">
      <c r="A213" s="3" t="s">
        <v>212</v>
      </c>
    </row>
    <row r="214" ht="16.5" spans="1:1">
      <c r="A214" s="3" t="s">
        <v>213</v>
      </c>
    </row>
    <row r="215" ht="16.5" spans="1:1">
      <c r="A215" s="3" t="s">
        <v>214</v>
      </c>
    </row>
    <row r="216" ht="16.5" spans="1:1">
      <c r="A216" s="3" t="s">
        <v>215</v>
      </c>
    </row>
    <row r="217" ht="16.5" spans="1:1">
      <c r="A217" s="3" t="s">
        <v>216</v>
      </c>
    </row>
    <row r="218" ht="16.5" spans="1:1">
      <c r="A218" s="3" t="s">
        <v>217</v>
      </c>
    </row>
    <row r="219" ht="16.5" spans="1:1">
      <c r="A219" s="3" t="s">
        <v>218</v>
      </c>
    </row>
    <row r="220" ht="16.5" spans="1:1">
      <c r="A220" s="3" t="s">
        <v>219</v>
      </c>
    </row>
    <row r="221" ht="16.5" spans="1:1">
      <c r="A221" s="3" t="s">
        <v>220</v>
      </c>
    </row>
    <row r="222" ht="16.5" spans="1:1">
      <c r="A222" s="3" t="s">
        <v>221</v>
      </c>
    </row>
  </sheetData>
  <autoFilter xmlns:etc="http://www.wps.cn/officeDocument/2017/etCustomData" ref="A1:A222" etc:filterBottomFollowUsedRange="0">
    <extLst/>
  </autoFilter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E21"/>
  <sheetViews>
    <sheetView workbookViewId="0">
      <selection activeCell="D28" sqref="D28"/>
    </sheetView>
  </sheetViews>
  <sheetFormatPr defaultColWidth="9" defaultRowHeight="16.5" outlineLevelCol="4"/>
  <cols>
    <col min="3" max="5" width="12.1769230769231" customWidth="1"/>
  </cols>
  <sheetData>
    <row r="1" spans="1:5">
      <c r="A1" s="1" t="s">
        <v>222</v>
      </c>
      <c r="B1" s="1" t="s">
        <v>223</v>
      </c>
      <c r="C1" s="1" t="s">
        <v>224</v>
      </c>
      <c r="D1" s="1" t="s">
        <v>225</v>
      </c>
      <c r="E1" s="1" t="s">
        <v>226</v>
      </c>
    </row>
    <row r="2" spans="1:5">
      <c r="A2" s="1">
        <v>25</v>
      </c>
      <c r="B2" s="1" t="s">
        <v>227</v>
      </c>
      <c r="C2" s="2">
        <f>A2/40*250000</f>
        <v>156250</v>
      </c>
      <c r="D2" s="2">
        <f>C2*1.2</f>
        <v>187500</v>
      </c>
      <c r="E2" s="2">
        <f>C2/3.5</f>
        <v>44642.8571428571</v>
      </c>
    </row>
    <row r="3" spans="1:5">
      <c r="A3" s="1">
        <v>30</v>
      </c>
      <c r="B3" s="1" t="s">
        <v>228</v>
      </c>
      <c r="C3" s="2">
        <f>A3/40*250000</f>
        <v>187500</v>
      </c>
      <c r="D3" s="2">
        <f t="shared" ref="D3:D21" si="0">C3*1.2</f>
        <v>225000</v>
      </c>
      <c r="E3" s="2">
        <f t="shared" ref="E3:E21" si="1">C3/3.5</f>
        <v>53571.4285714286</v>
      </c>
    </row>
    <row r="4" spans="1:5">
      <c r="A4" s="1">
        <v>32</v>
      </c>
      <c r="B4" s="1" t="s">
        <v>229</v>
      </c>
      <c r="C4" s="2">
        <f>A4/40*250000</f>
        <v>200000</v>
      </c>
      <c r="D4" s="2">
        <f t="shared" si="0"/>
        <v>240000</v>
      </c>
      <c r="E4" s="2">
        <f t="shared" si="1"/>
        <v>57142.8571428571</v>
      </c>
    </row>
    <row r="5" spans="1:5">
      <c r="A5" s="1">
        <v>35</v>
      </c>
      <c r="B5" s="1" t="s">
        <v>230</v>
      </c>
      <c r="C5" s="2">
        <f>A5/40*250000</f>
        <v>218750</v>
      </c>
      <c r="D5" s="2">
        <f t="shared" si="0"/>
        <v>262500</v>
      </c>
      <c r="E5" s="2">
        <f t="shared" si="1"/>
        <v>62500</v>
      </c>
    </row>
    <row r="6" spans="1:5">
      <c r="A6" s="1">
        <v>38</v>
      </c>
      <c r="B6" s="1" t="s">
        <v>231</v>
      </c>
      <c r="C6" s="2">
        <f>A6/40*250000</f>
        <v>237500</v>
      </c>
      <c r="D6" s="2">
        <f t="shared" si="0"/>
        <v>285000</v>
      </c>
      <c r="E6" s="2">
        <f t="shared" si="1"/>
        <v>67857.1428571429</v>
      </c>
    </row>
    <row r="7" spans="1:5">
      <c r="A7" s="1">
        <v>40</v>
      </c>
      <c r="B7" s="1" t="s">
        <v>232</v>
      </c>
      <c r="C7" s="2">
        <f t="shared" ref="C7:C15" si="2">A7/40*250000</f>
        <v>250000</v>
      </c>
      <c r="D7" s="2">
        <f t="shared" si="0"/>
        <v>300000</v>
      </c>
      <c r="E7" s="2">
        <f t="shared" si="1"/>
        <v>71428.5714285714</v>
      </c>
    </row>
    <row r="8" spans="1:5">
      <c r="A8" s="1">
        <v>42</v>
      </c>
      <c r="B8" s="1" t="s">
        <v>233</v>
      </c>
      <c r="C8" s="2">
        <f t="shared" si="2"/>
        <v>262500</v>
      </c>
      <c r="D8" s="2">
        <f t="shared" si="0"/>
        <v>315000</v>
      </c>
      <c r="E8" s="2">
        <f t="shared" si="1"/>
        <v>75000</v>
      </c>
    </row>
    <row r="9" spans="1:5">
      <c r="A9" s="1">
        <v>45</v>
      </c>
      <c r="B9" s="1" t="s">
        <v>234</v>
      </c>
      <c r="C9" s="2">
        <f t="shared" si="2"/>
        <v>281250</v>
      </c>
      <c r="D9" s="2">
        <f t="shared" si="0"/>
        <v>337500</v>
      </c>
      <c r="E9" s="2">
        <f t="shared" si="1"/>
        <v>80357.1428571429</v>
      </c>
    </row>
    <row r="10" spans="1:5">
      <c r="A10" s="1">
        <v>48</v>
      </c>
      <c r="B10" s="1" t="s">
        <v>235</v>
      </c>
      <c r="C10" s="2">
        <f t="shared" si="2"/>
        <v>300000</v>
      </c>
      <c r="D10" s="2">
        <f t="shared" si="0"/>
        <v>360000</v>
      </c>
      <c r="E10" s="2">
        <f t="shared" si="1"/>
        <v>85714.2857142857</v>
      </c>
    </row>
    <row r="11" spans="1:5">
      <c r="A11" s="1">
        <v>50</v>
      </c>
      <c r="B11" s="1" t="s">
        <v>236</v>
      </c>
      <c r="C11" s="2">
        <f t="shared" si="2"/>
        <v>312500</v>
      </c>
      <c r="D11" s="2">
        <f t="shared" si="0"/>
        <v>375000</v>
      </c>
      <c r="E11" s="2">
        <f t="shared" si="1"/>
        <v>89285.7142857143</v>
      </c>
    </row>
    <row r="12" spans="1:5">
      <c r="A12" s="1">
        <v>52</v>
      </c>
      <c r="B12" s="1" t="s">
        <v>237</v>
      </c>
      <c r="C12" s="2">
        <f t="shared" si="2"/>
        <v>325000</v>
      </c>
      <c r="D12" s="2">
        <f t="shared" si="0"/>
        <v>390000</v>
      </c>
      <c r="E12" s="2">
        <f t="shared" si="1"/>
        <v>92857.1428571429</v>
      </c>
    </row>
    <row r="13" spans="1:5">
      <c r="A13" s="1">
        <v>55</v>
      </c>
      <c r="B13" s="1" t="s">
        <v>238</v>
      </c>
      <c r="C13" s="2">
        <f t="shared" si="2"/>
        <v>343750</v>
      </c>
      <c r="D13" s="2">
        <f t="shared" si="0"/>
        <v>412500</v>
      </c>
      <c r="E13" s="2">
        <f t="shared" si="1"/>
        <v>98214.2857142857</v>
      </c>
    </row>
    <row r="14" spans="1:5">
      <c r="A14" s="1">
        <v>58</v>
      </c>
      <c r="B14" s="1" t="s">
        <v>239</v>
      </c>
      <c r="C14" s="2">
        <f t="shared" si="2"/>
        <v>362500</v>
      </c>
      <c r="D14" s="2">
        <f t="shared" si="0"/>
        <v>435000</v>
      </c>
      <c r="E14" s="2">
        <f t="shared" si="1"/>
        <v>103571.428571429</v>
      </c>
    </row>
    <row r="15" spans="1:5">
      <c r="A15" s="1">
        <v>60</v>
      </c>
      <c r="B15" s="1" t="s">
        <v>240</v>
      </c>
      <c r="C15" s="2">
        <f t="shared" si="2"/>
        <v>375000</v>
      </c>
      <c r="D15" s="2">
        <f t="shared" si="0"/>
        <v>450000</v>
      </c>
      <c r="E15" s="2">
        <f t="shared" si="1"/>
        <v>107142.857142857</v>
      </c>
    </row>
    <row r="16" spans="1:5">
      <c r="A16" s="1">
        <v>62</v>
      </c>
      <c r="B16" s="1" t="s">
        <v>241</v>
      </c>
      <c r="C16" s="2">
        <f>A16/40*200000+50000</f>
        <v>360000</v>
      </c>
      <c r="D16" s="2">
        <f t="shared" si="0"/>
        <v>432000</v>
      </c>
      <c r="E16" s="2">
        <f t="shared" si="1"/>
        <v>102857.142857143</v>
      </c>
    </row>
    <row r="17" spans="1:5">
      <c r="A17" s="1">
        <v>65</v>
      </c>
      <c r="B17" s="1" t="s">
        <v>242</v>
      </c>
      <c r="C17" s="2">
        <f>A17/40*200000+50000</f>
        <v>375000</v>
      </c>
      <c r="D17" s="2">
        <f t="shared" si="0"/>
        <v>450000</v>
      </c>
      <c r="E17" s="2">
        <f t="shared" si="1"/>
        <v>107142.857142857</v>
      </c>
    </row>
    <row r="18" spans="1:5">
      <c r="A18" s="1">
        <v>68</v>
      </c>
      <c r="B18" s="1" t="s">
        <v>243</v>
      </c>
      <c r="C18" s="2">
        <f>A18/40*200000+100000</f>
        <v>440000</v>
      </c>
      <c r="D18" s="2">
        <f t="shared" si="0"/>
        <v>528000</v>
      </c>
      <c r="E18" s="2">
        <f t="shared" si="1"/>
        <v>125714.285714286</v>
      </c>
    </row>
    <row r="19" spans="1:5">
      <c r="A19" s="1">
        <v>72</v>
      </c>
      <c r="B19" s="1" t="s">
        <v>244</v>
      </c>
      <c r="C19" s="2">
        <f>A19/40*200000+150000</f>
        <v>510000</v>
      </c>
      <c r="D19" s="2">
        <f t="shared" si="0"/>
        <v>612000</v>
      </c>
      <c r="E19" s="2">
        <f t="shared" si="1"/>
        <v>145714.285714286</v>
      </c>
    </row>
    <row r="20" spans="1:5">
      <c r="A20" s="1">
        <v>80</v>
      </c>
      <c r="B20" s="1" t="s">
        <v>245</v>
      </c>
      <c r="C20" s="2">
        <f>A20/40*200000+200000</f>
        <v>600000</v>
      </c>
      <c r="D20" s="2">
        <f t="shared" si="0"/>
        <v>720000</v>
      </c>
      <c r="E20" s="2">
        <f t="shared" si="1"/>
        <v>171428.571428571</v>
      </c>
    </row>
    <row r="21" spans="1:5">
      <c r="A21" s="1">
        <v>90</v>
      </c>
      <c r="B21" s="1" t="s">
        <v>246</v>
      </c>
      <c r="C21" s="2">
        <f>A21/40*200000+250000</f>
        <v>700000</v>
      </c>
      <c r="D21" s="2">
        <f t="shared" si="0"/>
        <v>840000</v>
      </c>
      <c r="E21" s="2">
        <f t="shared" si="1"/>
        <v>200000</v>
      </c>
    </row>
  </sheetData>
  <sheetProtection algorithmName="SHA-512" hashValue="XP7/AIk9O5LYUrJipo/gI4y4QQ7WOIhDyo/jf0Sd8wx4GM3sXsjYmnt0HhZIA9EuNyM71eCIV7Vv9fO8r/HNww==" saltValue="62e9uHOv01wsBkwCdMpwzw==" spinCount="100000" sheet="1" selectLockedCells="1" selectUnlockedCells="1" objects="1" scenarios="1"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K25"/>
  <sheetViews>
    <sheetView workbookViewId="0">
      <selection activeCell="F9" sqref="F9"/>
    </sheetView>
  </sheetViews>
  <sheetFormatPr defaultColWidth="9" defaultRowHeight="16.5"/>
  <cols>
    <col min="5" max="5" width="10" customWidth="1"/>
  </cols>
  <sheetData>
    <row r="1" spans="1:6">
      <c r="A1" t="s">
        <v>247</v>
      </c>
      <c r="B1" t="s">
        <v>248</v>
      </c>
      <c r="C1" t="s">
        <v>249</v>
      </c>
    </row>
    <row r="2" spans="1:6">
      <c r="D2" t="s">
        <v>250</v>
      </c>
    </row>
    <row r="3" spans="1:6">
      <c r="A3">
        <v>30000</v>
      </c>
      <c r="B3">
        <f>A3*1.5</f>
        <v>45000</v>
      </c>
      <c r="C3">
        <f>A3*2</f>
        <v>60000</v>
      </c>
    </row>
    <row r="4" spans="1:6">
      <c r="C4">
        <f t="shared" ref="C4:C8" si="0">B4*E4</f>
        <v>0</v>
      </c>
      <c r="D4" t="s">
        <v>251</v>
      </c>
    </row>
    <row r="5" spans="1:6">
      <c r="A5">
        <v>31000</v>
      </c>
      <c r="B5">
        <f>A5*1.5</f>
        <v>46500</v>
      </c>
      <c r="C5">
        <f>A5*2</f>
        <v>62000</v>
      </c>
    </row>
    <row r="6" spans="1:6">
      <c r="C6">
        <f t="shared" si="0"/>
        <v>0</v>
      </c>
      <c r="D6" t="s">
        <v>252</v>
      </c>
    </row>
    <row r="7" spans="1:6">
      <c r="A7">
        <v>32000</v>
      </c>
      <c r="B7">
        <f>A7*1.5</f>
        <v>48000</v>
      </c>
      <c r="C7">
        <f>A7*2</f>
        <v>64000</v>
      </c>
    </row>
    <row r="8" spans="1:6">
      <c r="C8">
        <f t="shared" si="0"/>
        <v>0</v>
      </c>
      <c r="D8" t="s">
        <v>253</v>
      </c>
    </row>
    <row r="9" spans="1:6">
      <c r="A9">
        <v>33000</v>
      </c>
      <c r="B9">
        <f>A9*1.5</f>
        <v>49500</v>
      </c>
      <c r="C9">
        <f>A9*2</f>
        <v>66000</v>
      </c>
    </row>
    <row r="10" spans="1:6">
      <c r="D10" t="s">
        <v>254</v>
      </c>
    </row>
    <row r="15" spans="1:6">
      <c r="A15" t="s">
        <v>255</v>
      </c>
      <c r="E15" t="s">
        <v>256</v>
      </c>
      <c r="F15">
        <v>1</v>
      </c>
    </row>
    <row r="16" spans="1:6">
      <c r="A16" t="s">
        <v>247</v>
      </c>
      <c r="B16" t="s">
        <v>248</v>
      </c>
      <c r="C16" t="s">
        <v>249</v>
      </c>
    </row>
    <row r="17" spans="1:11">
      <c r="D17" t="s">
        <v>250</v>
      </c>
    </row>
    <row r="18" spans="1:11">
      <c r="A18">
        <f>A3*$F$15</f>
        <v>30000</v>
      </c>
      <c r="B18">
        <f>B3*$F$15</f>
        <v>45000</v>
      </c>
      <c r="C18">
        <f>C3*$F$15</f>
        <v>60000</v>
      </c>
      <c r="E18" t="s">
        <v>257</v>
      </c>
      <c r="K18" t="s">
        <v>258</v>
      </c>
    </row>
    <row r="19" spans="1:11">
      <c r="D19" t="s">
        <v>251</v>
      </c>
    </row>
    <row r="20" spans="1:11">
      <c r="A20">
        <f>A5*$F$15</f>
        <v>31000</v>
      </c>
      <c r="B20">
        <f>B5*$F$15</f>
        <v>46500</v>
      </c>
      <c r="C20">
        <f t="shared" ref="C20" si="1">C5*$F$15</f>
        <v>62000</v>
      </c>
      <c r="E20" t="s">
        <v>259</v>
      </c>
    </row>
    <row r="21" spans="1:11">
      <c r="D21" t="s">
        <v>252</v>
      </c>
    </row>
    <row r="22" spans="1:11">
      <c r="A22">
        <f t="shared" ref="A22:C22" si="2">A7*$F$15</f>
        <v>32000</v>
      </c>
      <c r="B22">
        <f t="shared" si="2"/>
        <v>48000</v>
      </c>
      <c r="C22">
        <f t="shared" si="2"/>
        <v>64000</v>
      </c>
      <c r="E22" t="s">
        <v>260</v>
      </c>
    </row>
    <row r="23" spans="1:11">
      <c r="D23" t="s">
        <v>253</v>
      </c>
    </row>
    <row r="24" spans="1:11">
      <c r="A24">
        <f t="shared" ref="A24:C24" si="3">A9*$F$15</f>
        <v>33000</v>
      </c>
      <c r="B24">
        <f t="shared" si="3"/>
        <v>49500</v>
      </c>
      <c r="C24">
        <f t="shared" si="3"/>
        <v>66000</v>
      </c>
      <c r="E24" t="s">
        <v>261</v>
      </c>
    </row>
    <row r="25" spans="1:11">
      <c r="D25" t="s">
        <v>254</v>
      </c>
    </row>
  </sheetData>
  <sheetProtection algorithmName="SHA-512" hashValue="PpWPUrrPfP+WcneypiNleNoOMot/vhEX/fLu+3wAld0EpTboxPTcFYvMVHiWBOpDUkFdm4zRXLh4xdUOf9xPcw==" saltValue="BWAMQUAWAIJSpRS+DnYIjg==" spinCount="100000" sheet="1" selectLockedCells="1" selectUnlockedCells="1"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1"/>
  <sheetViews>
    <sheetView workbookViewId="0">
      <selection activeCell="F9" sqref="F9"/>
    </sheetView>
  </sheetViews>
  <sheetFormatPr defaultColWidth="9" defaultRowHeight="16.5" outlineLevelCol="1"/>
  <cols>
    <col min="1" max="1" width="9.36153846153846" customWidth="1"/>
  </cols>
  <sheetData>
    <row r="1" spans="1:2">
      <c r="A1" t="s">
        <v>262</v>
      </c>
      <c r="B1">
        <v>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10"/>
  <sheetViews>
    <sheetView workbookViewId="0">
      <selection activeCell="F9" sqref="F9"/>
    </sheetView>
  </sheetViews>
  <sheetFormatPr defaultColWidth="9" defaultRowHeight="16.5" outlineLevelCol="1"/>
  <sheetData>
    <row r="1" spans="1:2">
      <c r="A1" t="s">
        <v>263</v>
      </c>
      <c r="B1">
        <v>10</v>
      </c>
    </row>
    <row r="2" spans="1:2">
      <c r="A2" t="s">
        <v>264</v>
      </c>
      <c r="B2">
        <v>9</v>
      </c>
    </row>
    <row r="3" spans="1:2">
      <c r="A3" t="s">
        <v>265</v>
      </c>
      <c r="B3">
        <v>8</v>
      </c>
    </row>
    <row r="4" spans="1:2">
      <c r="A4" t="s">
        <v>266</v>
      </c>
      <c r="B4">
        <v>7</v>
      </c>
    </row>
    <row r="5" spans="1:2">
      <c r="A5" t="s">
        <v>267</v>
      </c>
      <c r="B5">
        <v>6</v>
      </c>
    </row>
    <row r="6" spans="1:2">
      <c r="A6" t="s">
        <v>268</v>
      </c>
      <c r="B6">
        <v>5</v>
      </c>
    </row>
    <row r="7" spans="1:2">
      <c r="A7" t="s">
        <v>269</v>
      </c>
      <c r="B7">
        <v>4</v>
      </c>
    </row>
    <row r="8" spans="1:2">
      <c r="A8" t="s">
        <v>270</v>
      </c>
      <c r="B8">
        <v>3</v>
      </c>
    </row>
    <row r="9" spans="1:2">
      <c r="A9" t="s">
        <v>271</v>
      </c>
      <c r="B9">
        <v>2</v>
      </c>
    </row>
    <row r="10" spans="1:2">
      <c r="A10" t="s">
        <v>272</v>
      </c>
      <c r="B10">
        <v>1</v>
      </c>
    </row>
  </sheetData>
  <sheetProtection algorithmName="SHA-512" hashValue="Wq+HtInsM4fATgo13g3JQIZhA/VIALYj62cuCCMndNd2Fl6vaQCvjwb0TYoVVeQh2AlLRpsirbq/bt4FKT+MtQ==" saltValue="f+BOQ7GljzL1YCbVG/GQOA==" spinCount="100000" sheet="1" selectLockedCells="1" selectUnlockedCells="1" objects="1" scenarios="1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llowEditUser xmlns="https://web.wps.cn/et/2018/main" xmlns:s="http://schemas.openxmlformats.org/spreadsheetml/2006/main" hasInvisiblePropRange="0">
  <rangeList sheetStid="5" master="" otherUserPermission="visible"/>
  <rangeList sheetStid="3" master="" otherUserPermission="visible"/>
  <rangeList sheetStid="4" master="" otherUserPermission="visible"/>
  <rangeList sheetStid="6" master="" otherUserPermission="visible"/>
  <rangeList sheetStid="7" master="" otherUserPermission="visible"/>
</allowEditUser>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S15战队成员</vt:lpstr>
      <vt:lpstr>武勋赋值</vt:lpstr>
      <vt:lpstr>繁荣评级</vt:lpstr>
      <vt:lpstr>攻城</vt:lpstr>
      <vt:lpstr>评价系数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Jay</dc:creator>
  <cp:lastModifiedBy>Administrator</cp:lastModifiedBy>
  <dcterms:created xsi:type="dcterms:W3CDTF">2026-04-13T13:20:00Z</dcterms:created>
  <dcterms:modified xsi:type="dcterms:W3CDTF">2026-06-19T07:57:17Z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FAFDBE2FA9BA7A33047DDC6992E8F530_41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