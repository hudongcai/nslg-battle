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5600" windowHeight="12080"/>
  </bookViews>
  <sheets>
    <sheet name="玩家名称模板" sheetId="5" r:id="rId1"/>
    <sheet name="武勋赋值" sheetId="3" state="hidden" r:id="rId2"/>
    <sheet name="繁荣评级" sheetId="4" state="hidden" r:id="rId3"/>
    <sheet name="攻城" sheetId="6" state="hidden" r:id="rId4"/>
    <sheet name="评价系数" sheetId="7" state="hidden" r:id="rId5"/>
  </sheets>
  <definedNames>
    <definedName name="_xlnm._FilterDatabase" localSheetId="0" hidden="1">玩家名称模板!$A$1:$A$221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<sst xmlns="http://schemas.openxmlformats.org/spreadsheetml/2006/main" count="82" uniqueCount="52">
  <si>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XXX</t>
  </si>
  <si>
    <t>赋值</t>
  </si>
  <si>
    <t>同盟阁等级</t>
  </si>
  <si>
    <t>首周必达武勋</t>
  </si>
  <si>
    <t>首周挑战武勋</t>
  </si>
  <si>
    <t>日均</t>
  </si>
  <si>
    <t>千五</t>
  </si>
  <si>
    <t>千六</t>
  </si>
  <si>
    <t>千七</t>
  </si>
  <si>
    <t>千八</t>
  </si>
  <si>
    <t>千九</t>
  </si>
  <si>
    <t>万一</t>
  </si>
  <si>
    <t>万二</t>
  </si>
  <si>
    <t>万三</t>
  </si>
  <si>
    <t>万四</t>
  </si>
  <si>
    <t>万五</t>
  </si>
  <si>
    <t>万六</t>
  </si>
  <si>
    <t>万七</t>
  </si>
  <si>
    <t>万八</t>
  </si>
  <si>
    <t>万九</t>
  </si>
  <si>
    <t>大圆满</t>
  </si>
  <si>
    <t>极一</t>
  </si>
  <si>
    <t>极二</t>
  </si>
  <si>
    <t>极三</t>
  </si>
  <si>
    <t>极四</t>
  </si>
  <si>
    <t>极五</t>
  </si>
  <si>
    <t>首日</t>
  </si>
  <si>
    <t>次日</t>
  </si>
  <si>
    <t>第三天</t>
  </si>
  <si>
    <t>拉</t>
  </si>
  <si>
    <t>NPC</t>
  </si>
  <si>
    <t>人上人</t>
  </si>
  <si>
    <t>顶级</t>
  </si>
  <si>
    <t>夯</t>
  </si>
  <si>
    <t>S15</t>
  </si>
  <si>
    <t>宏观调控</t>
  </si>
  <si>
    <t>千六-千九</t>
  </si>
  <si>
    <t xml:space="preserve"> </t>
  </si>
  <si>
    <t>万一-万五</t>
  </si>
  <si>
    <t>万六-大圆满</t>
  </si>
  <si>
    <t>极一-极五</t>
  </si>
  <si>
    <t>攻城总次数</t>
  </si>
  <si>
    <t>SS+</t>
  </si>
  <si>
    <t>SS</t>
  </si>
  <si>
    <t>S+</t>
  </si>
  <si>
    <t>S</t>
  </si>
  <si>
    <t>A+</t>
  </si>
  <si>
    <t>A</t>
  </si>
  <si>
    <t>B+</t>
  </si>
  <si>
    <t>B</t>
  </si>
  <si>
    <t>C+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</si>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</sst>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-* #,##0_-;\-* #,##0_-;_-* &quot;-&quot;??_-;_-@_-"/>
  </numFmts>
  <fonts count="22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/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1" applyNumberFormat="1" applyFont="1" applyBorder="1" applyAlignment="1">
      <alignment vertical="center"/>
    </xf>
    <xf numFmtId="0" fontId="1" fillId="0" borderId="0" xfId="50" applyAlignment="1">
      <alignment horizontal="center"/>
    </xf>
    <xf numFmtId="0" fontId="1" fillId="0" borderId="0" xfId="50"/>
    <xf numFmtId="0" fontId="1" fillId="0" borderId="0" xfId="50" applyFont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常规 2" xfId="51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8_Accent1 1" pivot="0" count="7" xr9:uid="{ED39BE25-1FC6-429C-9932-EEF69A1AC2F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96"/>
  <sheetViews>
    <sheetView tabSelected="1" workbookViewId="0">
      <selection activeCell="C26" sqref="C26"/>
    </sheetView>
  </sheetViews>
  <sheetFormatPr defaultColWidth="8.90769230769231" defaultRowHeight="14"/>
  <cols>
    <col min="1" max="1" width="12.8461538461538" style="3" customWidth="1"/>
    <col min="2" max="16384" width="8.90769230769231" style="4"/>
  </cols>
  <sheetData>
    <row r="1" spans="1:1">
      <c r="A1" s="3" t="s">
        <v>0</v>
      </c>
    </row>
    <row r="2" spans="1:1">
      <c r="A2" s="3" t="s">
        <v>0</v>
      </c>
    </row>
    <row r="3" spans="1:1">
      <c r="A3" s="3" t="s">
        <v>0</v>
      </c>
    </row>
    <row r="4" spans="1:1">
      <c r="A4" s="3" t="s">
        <v>0</v>
      </c>
    </row>
    <row r="5" spans="1:1">
      <c r="A5" s="3" t="s">
        <v>0</v>
      </c>
    </row>
    <row r="6" spans="1:1">
      <c r="A6" s="3" t="s">
        <v>0</v>
      </c>
    </row>
    <row r="7" spans="1:1">
      <c r="A7" s="3" t="s">
        <v>0</v>
      </c>
    </row>
    <row r="8" spans="1:1">
      <c r="A8" s="3" t="s">
        <v>0</v>
      </c>
    </row>
    <row r="9" spans="1:1">
      <c r="A9" s="3" t="s">
        <v>0</v>
      </c>
    </row>
    <row r="10" spans="1:1">
      <c r="A10" s="3" t="s">
        <v>0</v>
      </c>
    </row>
    <row r="11" spans="1:1">
      <c r="A11" s="3" t="s">
        <v>0</v>
      </c>
    </row>
    <row r="12" spans="1:1">
      <c r="A12" s="3" t="s">
        <v>0</v>
      </c>
    </row>
    <row r="13" spans="1:1">
      <c r="A13" s="3" t="s">
        <v>0</v>
      </c>
    </row>
    <row r="14" spans="1:1">
      <c r="A14" s="3" t="s">
        <v>0</v>
      </c>
    </row>
    <row r="15" spans="1:1">
      <c r="A15" s="3" t="s">
        <v>0</v>
      </c>
    </row>
    <row r="16" spans="1:1">
      <c r="A16" s="3" t="s">
        <v>0</v>
      </c>
    </row>
    <row r="17" spans="1:1">
      <c r="A17" s="3" t="s">
        <v>0</v>
      </c>
    </row>
    <row r="18" spans="1:1">
      <c r="A18" s="3" t="s">
        <v>0</v>
      </c>
    </row>
    <row r="19" spans="1:1">
      <c r="A19" s="3" t="s">
        <v>0</v>
      </c>
    </row>
    <row r="20" spans="1:1">
      <c r="A20" s="3" t="s">
        <v>0</v>
      </c>
    </row>
    <row r="21" spans="1:1">
      <c r="A21" s="3" t="s">
        <v>0</v>
      </c>
    </row>
    <row r="22" spans="1:1">
      <c r="A22" s="3" t="s">
        <v>0</v>
      </c>
    </row>
    <row r="23" spans="1:1">
      <c r="A23" s="3" t="s">
        <v>0</v>
      </c>
    </row>
    <row r="196" spans="1:1">
      <c r="A196" s="5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21"/>
  <sheetViews>
    <sheetView workbookViewId="0">
      <selection activeCell="D28" sqref="D28"/>
    </sheetView>
  </sheetViews>
  <sheetFormatPr defaultColWidth="9" defaultRowHeight="16.5" outlineLevelCol="4"/>
  <cols>
    <col min="3" max="5" width="12.1769230769231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s="1">
        <v>25</v>
      </c>
      <c r="B2" s="1" t="s">
        <v>6</v>
      </c>
      <c r="C2" s="2">
        <f>A2/40*250000</f>
        <v>156250</v>
      </c>
      <c r="D2" s="2">
        <f>C2*1.2</f>
        <v>187500</v>
      </c>
      <c r="E2" s="2">
        <f>C2/3.5</f>
        <v>44642.8571428571</v>
      </c>
    </row>
    <row r="3" spans="1:5">
      <c r="A3" s="1">
        <v>30</v>
      </c>
      <c r="B3" s="1" t="s">
        <v>7</v>
      </c>
      <c r="C3" s="2">
        <f>A3/40*250000</f>
        <v>187500</v>
      </c>
      <c r="D3" s="2">
        <f t="shared" ref="D3:D21" si="0">C3*1.2</f>
        <v>225000</v>
      </c>
      <c r="E3" s="2">
        <f t="shared" ref="E3:E21" si="1">C3/3.5</f>
        <v>53571.4285714286</v>
      </c>
    </row>
    <row r="4" spans="1:5">
      <c r="A4" s="1">
        <v>32</v>
      </c>
      <c r="B4" s="1" t="s">
        <v>8</v>
      </c>
      <c r="C4" s="2">
        <f>A4/40*250000</f>
        <v>200000</v>
      </c>
      <c r="D4" s="2">
        <f t="shared" si="0"/>
        <v>240000</v>
      </c>
      <c r="E4" s="2">
        <f t="shared" si="1"/>
        <v>57142.8571428571</v>
      </c>
    </row>
    <row r="5" spans="1:5">
      <c r="A5" s="1">
        <v>35</v>
      </c>
      <c r="B5" s="1" t="s">
        <v>9</v>
      </c>
      <c r="C5" s="2">
        <f>A5/40*250000</f>
        <v>218750</v>
      </c>
      <c r="D5" s="2">
        <f t="shared" si="0"/>
        <v>262500</v>
      </c>
      <c r="E5" s="2">
        <f t="shared" si="1"/>
        <v>62500</v>
      </c>
    </row>
    <row r="6" spans="1:5">
      <c r="A6" s="1">
        <v>38</v>
      </c>
      <c r="B6" s="1" t="s">
        <v>10</v>
      </c>
      <c r="C6" s="2">
        <f>A6/40*250000</f>
        <v>237500</v>
      </c>
      <c r="D6" s="2">
        <f t="shared" si="0"/>
        <v>285000</v>
      </c>
      <c r="E6" s="2">
        <f t="shared" si="1"/>
        <v>67857.1428571429</v>
      </c>
    </row>
    <row r="7" spans="1:5">
      <c r="A7" s="1">
        <v>40</v>
      </c>
      <c r="B7" s="1" t="s">
        <v>11</v>
      </c>
      <c r="C7" s="2">
        <f t="shared" ref="C7:C15" si="2">A7/40*250000</f>
        <v>250000</v>
      </c>
      <c r="D7" s="2">
        <f t="shared" si="0"/>
        <v>300000</v>
      </c>
      <c r="E7" s="2">
        <f t="shared" si="1"/>
        <v>71428.5714285714</v>
      </c>
    </row>
    <row r="8" spans="1:5">
      <c r="A8" s="1">
        <v>42</v>
      </c>
      <c r="B8" s="1" t="s">
        <v>12</v>
      </c>
      <c r="C8" s="2">
        <f t="shared" si="2"/>
        <v>262500</v>
      </c>
      <c r="D8" s="2">
        <f t="shared" si="0"/>
        <v>315000</v>
      </c>
      <c r="E8" s="2">
        <f t="shared" si="1"/>
        <v>75000</v>
      </c>
    </row>
    <row r="9" spans="1:5">
      <c r="A9" s="1">
        <v>45</v>
      </c>
      <c r="B9" s="1" t="s">
        <v>13</v>
      </c>
      <c r="C9" s="2">
        <f t="shared" si="2"/>
        <v>281250</v>
      </c>
      <c r="D9" s="2">
        <f t="shared" si="0"/>
        <v>337500</v>
      </c>
      <c r="E9" s="2">
        <f t="shared" si="1"/>
        <v>80357.1428571429</v>
      </c>
    </row>
    <row r="10" spans="1:5">
      <c r="A10" s="1">
        <v>48</v>
      </c>
      <c r="B10" s="1" t="s">
        <v>14</v>
      </c>
      <c r="C10" s="2">
        <f t="shared" si="2"/>
        <v>300000</v>
      </c>
      <c r="D10" s="2">
        <f t="shared" si="0"/>
        <v>360000</v>
      </c>
      <c r="E10" s="2">
        <f t="shared" si="1"/>
        <v>85714.2857142857</v>
      </c>
    </row>
    <row r="11" spans="1:5">
      <c r="A11" s="1">
        <v>50</v>
      </c>
      <c r="B11" s="1" t="s">
        <v>15</v>
      </c>
      <c r="C11" s="2">
        <f t="shared" si="2"/>
        <v>312500</v>
      </c>
      <c r="D11" s="2">
        <f t="shared" si="0"/>
        <v>375000</v>
      </c>
      <c r="E11" s="2">
        <f t="shared" si="1"/>
        <v>89285.7142857143</v>
      </c>
    </row>
    <row r="12" spans="1:5">
      <c r="A12" s="1">
        <v>52</v>
      </c>
      <c r="B12" s="1" t="s">
        <v>16</v>
      </c>
      <c r="C12" s="2">
        <f t="shared" si="2"/>
        <v>325000</v>
      </c>
      <c r="D12" s="2">
        <f t="shared" si="0"/>
        <v>390000</v>
      </c>
      <c r="E12" s="2">
        <f t="shared" si="1"/>
        <v>92857.1428571429</v>
      </c>
    </row>
    <row r="13" spans="1:5">
      <c r="A13" s="1">
        <v>55</v>
      </c>
      <c r="B13" s="1" t="s">
        <v>17</v>
      </c>
      <c r="C13" s="2">
        <f t="shared" si="2"/>
        <v>343750</v>
      </c>
      <c r="D13" s="2">
        <f t="shared" si="0"/>
        <v>412500</v>
      </c>
      <c r="E13" s="2">
        <f t="shared" si="1"/>
        <v>98214.2857142857</v>
      </c>
    </row>
    <row r="14" spans="1:5">
      <c r="A14" s="1">
        <v>58</v>
      </c>
      <c r="B14" s="1" t="s">
        <v>18</v>
      </c>
      <c r="C14" s="2">
        <f t="shared" si="2"/>
        <v>362500</v>
      </c>
      <c r="D14" s="2">
        <f t="shared" si="0"/>
        <v>435000</v>
      </c>
      <c r="E14" s="2">
        <f t="shared" si="1"/>
        <v>103571.428571429</v>
      </c>
    </row>
    <row r="15" spans="1:5">
      <c r="A15" s="1">
        <v>60</v>
      </c>
      <c r="B15" s="1" t="s">
        <v>19</v>
      </c>
      <c r="C15" s="2">
        <f t="shared" si="2"/>
        <v>375000</v>
      </c>
      <c r="D15" s="2">
        <f t="shared" si="0"/>
        <v>450000</v>
      </c>
      <c r="E15" s="2">
        <f t="shared" si="1"/>
        <v>107142.857142857</v>
      </c>
    </row>
    <row r="16" spans="1:5">
      <c r="A16" s="1">
        <v>62</v>
      </c>
      <c r="B16" s="1" t="s">
        <v>20</v>
      </c>
      <c r="C16" s="2">
        <f>A16/40*200000+50000</f>
        <v>360000</v>
      </c>
      <c r="D16" s="2">
        <f t="shared" si="0"/>
        <v>432000</v>
      </c>
      <c r="E16" s="2">
        <f t="shared" si="1"/>
        <v>102857.142857143</v>
      </c>
    </row>
    <row r="17" spans="1:5">
      <c r="A17" s="1">
        <v>65</v>
      </c>
      <c r="B17" s="1" t="s">
        <v>21</v>
      </c>
      <c r="C17" s="2">
        <f>A17/40*200000+50000</f>
        <v>375000</v>
      </c>
      <c r="D17" s="2">
        <f t="shared" si="0"/>
        <v>450000</v>
      </c>
      <c r="E17" s="2">
        <f t="shared" si="1"/>
        <v>107142.857142857</v>
      </c>
    </row>
    <row r="18" spans="1:5">
      <c r="A18" s="1">
        <v>68</v>
      </c>
      <c r="B18" s="1" t="s">
        <v>22</v>
      </c>
      <c r="C18" s="2">
        <f>A18/40*200000+100000</f>
        <v>440000</v>
      </c>
      <c r="D18" s="2">
        <f t="shared" si="0"/>
        <v>528000</v>
      </c>
      <c r="E18" s="2">
        <f t="shared" si="1"/>
        <v>125714.285714286</v>
      </c>
    </row>
    <row r="19" spans="1:5">
      <c r="A19" s="1">
        <v>72</v>
      </c>
      <c r="B19" s="1" t="s">
        <v>23</v>
      </c>
      <c r="C19" s="2">
        <f>A19/40*200000+150000</f>
        <v>510000</v>
      </c>
      <c r="D19" s="2">
        <f t="shared" si="0"/>
        <v>612000</v>
      </c>
      <c r="E19" s="2">
        <f t="shared" si="1"/>
        <v>145714.285714286</v>
      </c>
    </row>
    <row r="20" spans="1:5">
      <c r="A20" s="1">
        <v>80</v>
      </c>
      <c r="B20" s="1" t="s">
        <v>24</v>
      </c>
      <c r="C20" s="2">
        <f>A20/40*200000+200000</f>
        <v>600000</v>
      </c>
      <c r="D20" s="2">
        <f t="shared" si="0"/>
        <v>720000</v>
      </c>
      <c r="E20" s="2">
        <f t="shared" si="1"/>
        <v>171428.571428571</v>
      </c>
    </row>
    <row r="21" spans="1:5">
      <c r="A21" s="1">
        <v>90</v>
      </c>
      <c r="B21" s="1" t="s">
        <v>25</v>
      </c>
      <c r="C21" s="2">
        <f>A21/40*200000+250000</f>
        <v>700000</v>
      </c>
      <c r="D21" s="2">
        <f t="shared" si="0"/>
        <v>840000</v>
      </c>
      <c r="E21" s="2">
        <f t="shared" si="1"/>
        <v>200000</v>
      </c>
    </row>
  </sheetData>
  <sheetProtection algorithmName="SHA-512" hashValue="XP7/AIk9O5LYUrJipo/gI4y4QQ7WOIhDyo/jf0Sd8wx4GM3sXsjYmnt0HhZIA9EuNyM71eCIV7Vv9fO8r/HNww==" saltValue="62e9uHOv01wsBkwCdMpwzw==" spinCount="100000" sheet="1" selectLockedCells="1" selectUnlockedCells="1" objects="1" scenarios="1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25"/>
  <sheetViews>
    <sheetView workbookViewId="0">
      <selection activeCell="F9" sqref="F9"/>
    </sheetView>
  </sheetViews>
  <sheetFormatPr defaultColWidth="9" defaultRowHeight="16.5"/>
  <cols>
    <col min="5" max="5" width="10" customWidth="1"/>
  </cols>
  <sheetData>
    <row r="1" spans="1:6">
      <c r="A1" t="s">
        <v>26</v>
      </c>
      <c r="B1" t="s">
        <v>27</v>
      </c>
      <c r="C1" t="s">
        <v>28</v>
      </c>
    </row>
    <row r="2" spans="1:6">
      <c r="D2" t="s">
        <v>29</v>
      </c>
    </row>
    <row r="3" spans="1:6">
      <c r="A3">
        <v>30000</v>
      </c>
      <c r="B3">
        <f>A3*1.5</f>
        <v>45000</v>
      </c>
      <c r="C3">
        <f>A3*2</f>
        <v>60000</v>
      </c>
    </row>
    <row r="4" spans="1:6">
      <c r="C4">
        <f t="shared" ref="C4:C8" si="0">B4*E4</f>
        <v>0</v>
      </c>
      <c r="D4" t="s">
        <v>30</v>
      </c>
    </row>
    <row r="5" spans="1:6">
      <c r="A5">
        <v>31000</v>
      </c>
      <c r="B5">
        <f>A5*1.5</f>
        <v>46500</v>
      </c>
      <c r="C5">
        <f>A5*2</f>
        <v>62000</v>
      </c>
    </row>
    <row r="6" spans="1:6">
      <c r="C6">
        <f t="shared" si="0"/>
        <v>0</v>
      </c>
      <c r="D6" t="s">
        <v>31</v>
      </c>
    </row>
    <row r="7" spans="1:6">
      <c r="A7">
        <v>32000</v>
      </c>
      <c r="B7">
        <f>A7*1.5</f>
        <v>48000</v>
      </c>
      <c r="C7">
        <f>A7*2</f>
        <v>64000</v>
      </c>
    </row>
    <row r="8" spans="1:6">
      <c r="C8">
        <f t="shared" si="0"/>
        <v>0</v>
      </c>
      <c r="D8" t="s">
        <v>32</v>
      </c>
    </row>
    <row r="9" spans="1:6">
      <c r="A9">
        <v>33000</v>
      </c>
      <c r="B9">
        <f>A9*1.5</f>
        <v>49500</v>
      </c>
      <c r="C9">
        <f>A9*2</f>
        <v>66000</v>
      </c>
    </row>
    <row r="10" spans="1:6">
      <c r="D10" t="s">
        <v>33</v>
      </c>
    </row>
    <row r="15" spans="1:6">
      <c r="A15" t="s">
        <v>34</v>
      </c>
      <c r="E15" t="s">
        <v>35</v>
      </c>
      <c r="F15">
        <v>1</v>
      </c>
    </row>
    <row r="16" spans="1:6">
      <c r="A16" t="s">
        <v>26</v>
      </c>
      <c r="B16" t="s">
        <v>27</v>
      </c>
      <c r="C16" t="s">
        <v>28</v>
      </c>
    </row>
    <row r="17" spans="1:11">
      <c r="D17" t="s">
        <v>29</v>
      </c>
    </row>
    <row r="18" spans="1:11">
      <c r="A18">
        <f>A3*$F$15</f>
        <v>30000</v>
      </c>
      <c r="B18">
        <f>B3*$F$15</f>
        <v>45000</v>
      </c>
      <c r="C18">
        <f>C3*$F$15</f>
        <v>60000</v>
      </c>
      <c r="E18" t="s">
        <v>36</v>
      </c>
      <c r="K18" t="s">
        <v>37</v>
      </c>
    </row>
    <row r="19" spans="1:11">
      <c r="D19" t="s">
        <v>30</v>
      </c>
    </row>
    <row r="20" spans="1:11">
      <c r="A20">
        <f>A5*$F$15</f>
        <v>31000</v>
      </c>
      <c r="B20">
        <f>B5*$F$15</f>
        <v>46500</v>
      </c>
      <c r="C20">
        <f t="shared" ref="C20" si="1">C5*$F$15</f>
        <v>62000</v>
      </c>
      <c r="E20" t="s">
        <v>38</v>
      </c>
    </row>
    <row r="21" spans="1:11">
      <c r="D21" t="s">
        <v>31</v>
      </c>
    </row>
    <row r="22" spans="1:11">
      <c r="A22">
        <f t="shared" ref="A22:C22" si="2">A7*$F$15</f>
        <v>32000</v>
      </c>
      <c r="B22">
        <f t="shared" si="2"/>
        <v>48000</v>
      </c>
      <c r="C22">
        <f t="shared" si="2"/>
        <v>64000</v>
      </c>
      <c r="E22" t="s">
        <v>39</v>
      </c>
    </row>
    <row r="23" spans="1:11">
      <c r="D23" t="s">
        <v>32</v>
      </c>
    </row>
    <row r="24" spans="1:11">
      <c r="A24">
        <f t="shared" ref="A24:C24" si="3">A9*$F$15</f>
        <v>33000</v>
      </c>
      <c r="B24">
        <f t="shared" si="3"/>
        <v>49500</v>
      </c>
      <c r="C24">
        <f t="shared" si="3"/>
        <v>66000</v>
      </c>
      <c r="E24" t="s">
        <v>40</v>
      </c>
    </row>
    <row r="25" spans="1:11">
      <c r="D25" t="s">
        <v>33</v>
      </c>
    </row>
  </sheetData>
  <sheetProtection algorithmName="SHA-512" hashValue="PpWPUrrPfP+WcneypiNleNoOMot/vhEX/fLu+3wAld0EpTboxPTcFYvMVHiWBOpDUkFdm4zRXLh4xdUOf9xPcw==" saltValue="BWAMQUAWAIJSpRS+DnYIjg==" spinCount="100000" sheet="1" selectLockedCells="1" selectUnlockedCell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"/>
  <sheetViews>
    <sheetView workbookViewId="0">
      <selection activeCell="F9" sqref="F9"/>
    </sheetView>
  </sheetViews>
  <sheetFormatPr defaultColWidth="9" defaultRowHeight="16.5" outlineLevelCol="1"/>
  <cols>
    <col min="1" max="1" width="9.36153846153846" customWidth="1"/>
  </cols>
  <sheetData>
    <row r="1" spans="1:2">
      <c r="A1" t="s">
        <v>41</v>
      </c>
      <c r="B1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0"/>
  <sheetViews>
    <sheetView workbookViewId="0">
      <selection activeCell="F9" sqref="F9"/>
    </sheetView>
  </sheetViews>
  <sheetFormatPr defaultColWidth="9" defaultRowHeight="16.5" outlineLevelCol="1"/>
  <sheetData>
    <row r="1" spans="1:2">
      <c r="A1" t="s">
        <v>42</v>
      </c>
      <c r="B1">
        <v>10</v>
      </c>
    </row>
    <row r="2" spans="1:2">
      <c r="A2" t="s">
        <v>43</v>
      </c>
      <c r="B2">
        <v>9</v>
      </c>
    </row>
    <row r="3" spans="1:2">
      <c r="A3" t="s">
        <v>44</v>
      </c>
      <c r="B3">
        <v>8</v>
      </c>
    </row>
    <row r="4" spans="1:2">
      <c r="A4" t="s">
        <v>45</v>
      </c>
      <c r="B4">
        <v>7</v>
      </c>
    </row>
    <row r="5" spans="1:2">
      <c r="A5" t="s">
        <v>46</v>
      </c>
      <c r="B5">
        <v>6</v>
      </c>
    </row>
    <row r="6" spans="1:2">
      <c r="A6" t="s">
        <v>47</v>
      </c>
      <c r="B6">
        <v>5</v>
      </c>
    </row>
    <row r="7" spans="1:2">
      <c r="A7" t="s">
        <v>48</v>
      </c>
      <c r="B7">
        <v>4</v>
      </c>
    </row>
    <row r="8" spans="1:2">
      <c r="A8" t="s">
        <v>49</v>
      </c>
      <c r="B8">
        <v>3</v>
      </c>
    </row>
    <row r="9" spans="1:2">
      <c r="A9" t="s">
        <v>50</v>
      </c>
      <c r="B9">
        <v>2</v>
      </c>
    </row>
    <row r="10" spans="1:2">
      <c r="A10" t="s">
        <v>51</v>
      </c>
      <c r="B10">
        <v>1</v>
      </c>
    </row>
  </sheetData>
  <sheetProtection algorithmName="SHA-512" hashValue="Wq+HtInsM4fATgo13g3JQIZhA/VIALYj62cuCCMndNd2Fl6vaQCvjwb0TYoVVeQh2AlLRpsirbq/bt4FKT+MtQ==" saltValue="f+BOQ7GljzL1YCbVG/GQOA==" spinCount="100000" sheet="1" selectLockedCells="1" selectUnlockedCells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玩家名称模板</vt:lpstr>
      <vt:lpstr>武勋赋值</vt:lpstr>
      <vt:lpstr>繁荣评级</vt:lpstr>
      <vt:lpstr>攻城</vt:lpstr>
      <vt:lpstr>评价系数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Jay</dc:creator>
  <cp:lastModifiedBy>Administrator</cp:lastModifiedBy>
  <dcterms:created xsi:type="dcterms:W3CDTF">2026-04-13T13:20:00Z</dcterms:created>
  <dcterms:modified xsi:type="dcterms:W3CDTF">2026-06-19T09:07:45Z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BA1B33DFA96846869D5E6706A05A8317_13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